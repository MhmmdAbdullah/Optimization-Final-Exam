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725D30D2-38D4-4EFB-BFD0-B766215B7456}" xr6:coauthVersionLast="47" xr6:coauthVersionMax="47" xr10:uidLastSave="{00000000-0000-0000-0000-000000000000}"/>
  <bookViews>
    <workbookView xWindow="-110" yWindow="-110" windowWidth="19420" windowHeight="11500" xr2:uid="{8A3DD886-35CC-42EB-B16D-78F4D6F15109}"/>
  </bookViews>
  <sheets>
    <sheet name="Sheet1" sheetId="1" r:id="rId1"/>
  </sheets>
  <definedNames>
    <definedName name="solver_adj" localSheetId="0" hidden="1">Sheet1!$G$27:$I$27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Sheet1!$K$32</definedName>
    <definedName name="solver_lhs2" localSheetId="0" hidden="1">Sheet1!$K$33</definedName>
    <definedName name="solver_lhs3" localSheetId="0" hidden="1">Sheet1!$K$34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Sheet1!$J$27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Sheet1!$C$8</definedName>
    <definedName name="solver_rhs2" localSheetId="0" hidden="1">Sheet1!$C$6</definedName>
    <definedName name="solver_rhs3" localSheetId="0" hidden="1">Sheet1!$C$7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6" i="1"/>
  <c r="K7" i="1"/>
  <c r="K8" i="1"/>
  <c r="K9" i="1"/>
  <c r="K10" i="1"/>
  <c r="K6" i="1"/>
  <c r="M5" i="1" l="1"/>
  <c r="H17" i="1" l="1"/>
  <c r="K15" i="1"/>
  <c r="H19" i="1" s="1"/>
  <c r="H34" i="1"/>
  <c r="H33" i="1"/>
  <c r="H16" i="1"/>
  <c r="H18" i="1"/>
  <c r="H15" i="1"/>
  <c r="K17" i="1"/>
  <c r="H20" i="1" s="1"/>
  <c r="K34" i="1" l="1"/>
  <c r="K33" i="1"/>
  <c r="H38" i="1" s="1"/>
  <c r="H32" i="1"/>
  <c r="K32" i="1"/>
  <c r="H36" i="1" s="1"/>
  <c r="J27" i="1"/>
  <c r="H35" i="1" s="1"/>
  <c r="K27" i="1"/>
  <c r="K16" i="1"/>
  <c r="H21" i="1" s="1"/>
  <c r="K18" i="1"/>
  <c r="H37" i="1" l="1"/>
  <c r="K35" i="1"/>
</calcChain>
</file>

<file path=xl/sharedStrings.xml><?xml version="1.0" encoding="utf-8"?>
<sst xmlns="http://schemas.openxmlformats.org/spreadsheetml/2006/main" count="82" uniqueCount="46">
  <si>
    <t>Agrikultur: Optimasi Keuntungan dan Pengelolaan Inventaris menggunakan Metode Hybrid GA-GRG"</t>
  </si>
  <si>
    <t>Parameter</t>
  </si>
  <si>
    <t>Nilai</t>
  </si>
  <si>
    <t>Satuan</t>
  </si>
  <si>
    <t>Total Lahan</t>
  </si>
  <si>
    <t>Ha</t>
  </si>
  <si>
    <t>Stok Pupuk (Gudang)</t>
  </si>
  <si>
    <t>Kg</t>
  </si>
  <si>
    <t>Modal Operasional</t>
  </si>
  <si>
    <t>Rp</t>
  </si>
  <si>
    <t>Area Input Data (Data Feeding)</t>
  </si>
  <si>
    <t>Lahan</t>
  </si>
  <si>
    <t>Inventaris</t>
  </si>
  <si>
    <t>Kategori</t>
  </si>
  <si>
    <t>Finansial</t>
  </si>
  <si>
    <t>Area Data Komoditas (Reference Data)</t>
  </si>
  <si>
    <t>Komoditas</t>
  </si>
  <si>
    <t>Profit / Ha</t>
  </si>
  <si>
    <t>Kebutuhan Pupuk / Ha</t>
  </si>
  <si>
    <t>Biaya Tanam / Ha</t>
  </si>
  <si>
    <t>Padi</t>
  </si>
  <si>
    <t>Jagung</t>
  </si>
  <si>
    <t>Singkong</t>
  </si>
  <si>
    <t>Iterasi</t>
  </si>
  <si>
    <t>Lahan Padi (x1)</t>
  </si>
  <si>
    <t>Lahan Jagung (x2)</t>
  </si>
  <si>
    <t>Total Profit</t>
  </si>
  <si>
    <t>Status Batasan</t>
  </si>
  <si>
    <t>Lahan Singkong (x3)</t>
  </si>
  <si>
    <t>Item</t>
  </si>
  <si>
    <t>Hasil Rekomendasi</t>
  </si>
  <si>
    <t>Rencana Tanam Padi</t>
  </si>
  <si>
    <t>Rencana Tanam Jagung</t>
  </si>
  <si>
    <t>Estimasi Total Keuntungan</t>
  </si>
  <si>
    <t>Area Hasil Akhir (Decision Support Summary)</t>
  </si>
  <si>
    <t>Rencana Tanam Singkong</t>
  </si>
  <si>
    <t xml:space="preserve">Profit Terbesar : </t>
  </si>
  <si>
    <t>Pupuk Terpakai :</t>
  </si>
  <si>
    <t>Sisa Stok Pupuk :</t>
  </si>
  <si>
    <t xml:space="preserve">Total Lahan : </t>
  </si>
  <si>
    <t xml:space="preserve">Total Biaya : </t>
  </si>
  <si>
    <t>Estimasi Biaya Terpakai</t>
  </si>
  <si>
    <t>Efisiensi Pupuk Terpakai</t>
  </si>
  <si>
    <t>Efisiensi Lahan Terpakai</t>
  </si>
  <si>
    <t>Area Perhitungan (GA)</t>
  </si>
  <si>
    <t>Area Perhitungan (GRG)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</si>
</sst>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horizontal="right" vertical="center" wrapText="1" indent="1" readingOrder="1"/>
    </xf>
    <xf numFmtId="0" fontId="4" fillId="0" borderId="0" xfId="0" applyFont="1" applyBorder="1" applyAlignment="1">
      <alignment horizontal="right" vertical="center" wrapText="1" indent="1" readingOrder="1"/>
    </xf>
    <xf numFmtId="9" fontId="4" fillId="0" borderId="0" xfId="0" applyNumberFormat="1" applyFont="1" applyBorder="1" applyAlignment="1">
      <alignment horizontal="right" vertical="center" wrapText="1" indent="1" readingOrder="1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Border="1" applyAlignment="1">
      <alignment horizontal="center" vertical="center" wrapText="1" readingOrder="1"/>
    </xf>
    <xf numFmtId="0" fontId="4" fillId="6" borderId="0" xfId="0" applyFont="1" applyFill="1" applyBorder="1" applyAlignment="1">
      <alignment horizontal="left" vertical="center" wrapText="1" indent="1" readingOrder="1"/>
    </xf>
    <xf numFmtId="0" fontId="3" fillId="7" borderId="0" xfId="0" applyFont="1" applyFill="1" applyBorder="1" applyAlignment="1">
      <alignment horizontal="left" vertical="center" wrapText="1" indent="1" readingOrder="1"/>
    </xf>
    <xf numFmtId="0" fontId="4" fillId="7" borderId="0" xfId="0" applyFont="1" applyFill="1" applyBorder="1" applyAlignment="1">
      <alignment horizontal="left" vertical="center" wrapText="1" indent="1" readingOrder="1"/>
    </xf>
    <xf numFmtId="9" fontId="4" fillId="7" borderId="0" xfId="0" applyNumberFormat="1" applyFont="1" applyFill="1" applyBorder="1" applyAlignment="1">
      <alignment horizontal="left" vertical="center" wrapText="1" indent="1" readingOrder="1"/>
    </xf>
    <xf numFmtId="0" fontId="0" fillId="4" borderId="0" xfId="0" applyFont="1" applyFill="1" applyAlignment="1">
      <alignment horizontal="center"/>
    </xf>
    <xf numFmtId="0" fontId="0" fillId="0" borderId="0" xfId="0" applyBorder="1"/>
    <xf numFmtId="0" fontId="1" fillId="4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</cellXfs>
  <cellStyles count="1">
    <cellStyle name="Normal" xfId="0" builtinId="0"/>
  </cellStyles>
  <dxfs count="12">
    <dxf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1EBB69-E2AE-4C7A-8CCD-147F5FFFD4B6}" name="Table2" displayName="Table2" ref="A5:D8" totalsRowShown="0" headerRowDxfId="6" dataDxfId="7">
  <autoFilter ref="A5:D8" xr:uid="{0A1EBB69-E2AE-4C7A-8CCD-147F5FFFD4B6}"/>
  <tableColumns count="4">
    <tableColumn id="1" xr3:uid="{2AFE8558-D811-4D4F-B7C0-E9F0440AE80C}" name="Kategori" dataDxfId="11"/>
    <tableColumn id="2" xr3:uid="{99A1E8AC-2E2A-4F97-8246-29764451D38E}" name="Parameter" dataDxfId="10"/>
    <tableColumn id="3" xr3:uid="{CE5C76B4-4C53-42A2-A6C4-2D2233467E4A}" name="Nilai" dataDxfId="9"/>
    <tableColumn id="4" xr3:uid="{4E474479-25BE-44D0-9700-1CF9D0FB939B}" name="Satua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480888-6455-488F-AD37-BB7C1178BB95}" name="Table3" displayName="Table3" ref="A14:D17" totalsRowShown="0" headerRowDxfId="5" dataDxfId="0">
  <autoFilter ref="A14:D17" xr:uid="{11480888-6455-488F-AD37-BB7C1178BB95}"/>
  <tableColumns count="4">
    <tableColumn id="1" xr3:uid="{DC41E146-84B6-429F-BE41-89D1CB9BC7D2}" name="Komoditas" dataDxfId="4"/>
    <tableColumn id="2" xr3:uid="{229BF3E4-EA4D-46A4-BA2F-C02254308448}" name="Profit / Ha" dataDxfId="3"/>
    <tableColumn id="3" xr3:uid="{67B29010-2CDF-452C-A013-683DB89E01F1}" name="Kebutuhan Pupuk / Ha" dataDxfId="2"/>
    <tableColumn id="4" xr3:uid="{423ADAEE-6186-4C82-8394-C16D9C9CCD22}" name="Biaya Tanam / Ha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096B-5AE8-4969-8C70-456CF9632951}">
  <dimension ref="A1:M38"/>
  <sheetViews>
    <sheetView tabSelected="1" zoomScale="85" zoomScaleNormal="85" workbookViewId="0">
      <selection activeCell="B20" sqref="B20"/>
    </sheetView>
  </sheetViews>
  <sheetFormatPr defaultRowHeight="14.5" x14ac:dyDescent="0.35"/>
  <cols>
    <col min="1" max="1" width="11.7265625" customWidth="1"/>
    <col min="2" max="2" width="18.54296875" customWidth="1"/>
    <col min="3" max="3" width="13.36328125" customWidth="1"/>
    <col min="4" max="4" width="12.81640625" customWidth="1"/>
    <col min="5" max="5" width="6.6328125" customWidth="1"/>
    <col min="7" max="7" width="24.36328125" customWidth="1"/>
    <col min="8" max="8" width="18.81640625" customWidth="1"/>
    <col min="9" max="9" width="18.453125" customWidth="1"/>
    <col min="10" max="10" width="14.54296875" customWidth="1"/>
    <col min="11" max="11" width="16.54296875" customWidth="1"/>
    <col min="12" max="12" width="15.08984375" customWidth="1"/>
    <col min="13" max="13" width="11.453125" customWidth="1"/>
    <col min="14" max="14" width="18.81640625" customWidth="1"/>
  </cols>
  <sheetData>
    <row r="1" spans="1:13" x14ac:dyDescent="0.35">
      <c r="A1" s="1" t="s">
        <v>0</v>
      </c>
    </row>
    <row r="3" spans="1:13" x14ac:dyDescent="0.35">
      <c r="A3" t="s">
        <v>10</v>
      </c>
      <c r="F3" t="s">
        <v>44</v>
      </c>
    </row>
    <row r="5" spans="1:13" x14ac:dyDescent="0.35">
      <c r="A5" s="2" t="s">
        <v>13</v>
      </c>
      <c r="B5" s="2" t="s">
        <v>1</v>
      </c>
      <c r="C5" s="2" t="s">
        <v>2</v>
      </c>
      <c r="D5" s="2" t="s">
        <v>3</v>
      </c>
      <c r="F5" s="15" t="s">
        <v>23</v>
      </c>
      <c r="G5" s="15" t="s">
        <v>24</v>
      </c>
      <c r="H5" s="15" t="s">
        <v>25</v>
      </c>
      <c r="I5" s="15" t="s">
        <v>28</v>
      </c>
      <c r="J5" s="15" t="s">
        <v>26</v>
      </c>
      <c r="K5" s="15" t="s">
        <v>27</v>
      </c>
      <c r="L5" s="7" t="s">
        <v>36</v>
      </c>
      <c r="M5" s="8">
        <f>_xlfn.MAXIFS(J6:J10,K6:K10, "AMAN")</f>
        <v>1310000000</v>
      </c>
    </row>
    <row r="6" spans="1:13" x14ac:dyDescent="0.35">
      <c r="A6" s="2" t="s">
        <v>11</v>
      </c>
      <c r="B6" s="2" t="s">
        <v>4</v>
      </c>
      <c r="C6" s="2">
        <v>100</v>
      </c>
      <c r="D6" s="2" t="s">
        <v>5</v>
      </c>
      <c r="F6" s="16">
        <v>1</v>
      </c>
      <c r="G6" s="16">
        <v>30</v>
      </c>
      <c r="H6" s="16">
        <v>30</v>
      </c>
      <c r="I6" s="16">
        <v>40</v>
      </c>
      <c r="J6" s="16">
        <f>(G6 * $B$15) + (H6 * $B$16) + (I6 * $B$17)</f>
        <v>1210000000</v>
      </c>
      <c r="K6" s="16" t="str">
        <f>IF(OR((G6+H6 +I6)&gt;$C$6, ((G6*$C$15)+(H6*$C$16)+(I6*$C$17)&gt;$C$7)), "OVER", "AMAN")</f>
        <v>AMAN</v>
      </c>
    </row>
    <row r="7" spans="1:13" x14ac:dyDescent="0.35">
      <c r="A7" s="2" t="s">
        <v>12</v>
      </c>
      <c r="B7" s="2" t="s">
        <v>6</v>
      </c>
      <c r="C7" s="2">
        <v>5000</v>
      </c>
      <c r="D7" s="2" t="s">
        <v>7</v>
      </c>
      <c r="F7" s="16">
        <v>2</v>
      </c>
      <c r="G7" s="16">
        <v>50</v>
      </c>
      <c r="H7" s="16">
        <v>30</v>
      </c>
      <c r="I7" s="16">
        <v>20</v>
      </c>
      <c r="J7" s="16">
        <f t="shared" ref="J7:J10" si="0">(G7 * $B$15) + (H7 * $B$16) + (I7 * $B$17)</f>
        <v>1310000000</v>
      </c>
      <c r="K7" s="16" t="str">
        <f t="shared" ref="K7:K10" si="1">IF(OR((G7+H7 +I7)&gt;$C$6, ((G7*$C$15)+(H7*$C$16)+(I7*$C$17)&gt;$C$7)), "OVER", "AMAN")</f>
        <v>AMAN</v>
      </c>
    </row>
    <row r="8" spans="1:13" x14ac:dyDescent="0.35">
      <c r="A8" s="2" t="s">
        <v>14</v>
      </c>
      <c r="B8" s="2" t="s">
        <v>8</v>
      </c>
      <c r="C8" s="2">
        <v>500000000</v>
      </c>
      <c r="D8" s="2" t="s">
        <v>9</v>
      </c>
      <c r="F8" s="16">
        <v>3</v>
      </c>
      <c r="G8" s="16">
        <v>35</v>
      </c>
      <c r="H8" s="16">
        <v>35</v>
      </c>
      <c r="I8" s="16">
        <v>30</v>
      </c>
      <c r="J8" s="16">
        <f t="shared" si="0"/>
        <v>1245000000</v>
      </c>
      <c r="K8" s="16" t="str">
        <f t="shared" si="1"/>
        <v>AMAN</v>
      </c>
    </row>
    <row r="9" spans="1:13" x14ac:dyDescent="0.35">
      <c r="F9" s="16">
        <v>4</v>
      </c>
      <c r="G9" s="16">
        <v>40</v>
      </c>
      <c r="H9" s="16">
        <v>40</v>
      </c>
      <c r="I9" s="16">
        <v>30</v>
      </c>
      <c r="J9" s="16">
        <f t="shared" si="0"/>
        <v>1380000000</v>
      </c>
      <c r="K9" s="16" t="str">
        <f t="shared" si="1"/>
        <v>OVER</v>
      </c>
    </row>
    <row r="10" spans="1:13" x14ac:dyDescent="0.35">
      <c r="F10" s="16">
        <v>5</v>
      </c>
      <c r="G10" s="16">
        <v>33</v>
      </c>
      <c r="H10" s="16">
        <v>33</v>
      </c>
      <c r="I10" s="16">
        <v>34</v>
      </c>
      <c r="J10" s="16">
        <f t="shared" si="0"/>
        <v>1231000000</v>
      </c>
      <c r="K10" s="16" t="str">
        <f t="shared" si="1"/>
        <v>AMAN</v>
      </c>
    </row>
    <row r="12" spans="1:13" x14ac:dyDescent="0.35">
      <c r="A12" t="s">
        <v>15</v>
      </c>
      <c r="G12" t="s">
        <v>34</v>
      </c>
    </row>
    <row r="14" spans="1:13" ht="26" customHeight="1" x14ac:dyDescent="0.35">
      <c r="A14" s="3" t="s">
        <v>16</v>
      </c>
      <c r="B14" s="3" t="s">
        <v>17</v>
      </c>
      <c r="C14" s="3" t="s">
        <v>18</v>
      </c>
      <c r="D14" s="3" t="s">
        <v>19</v>
      </c>
      <c r="G14" s="11" t="s">
        <v>29</v>
      </c>
      <c r="H14" s="11" t="s">
        <v>30</v>
      </c>
      <c r="I14" s="11" t="s">
        <v>3</v>
      </c>
    </row>
    <row r="15" spans="1:13" x14ac:dyDescent="0.35">
      <c r="A15" s="9" t="s">
        <v>20</v>
      </c>
      <c r="B15" s="9">
        <v>15000000</v>
      </c>
      <c r="C15" s="9">
        <v>60</v>
      </c>
      <c r="D15" s="9">
        <v>4000000</v>
      </c>
      <c r="G15" s="17" t="s">
        <v>31</v>
      </c>
      <c r="H15" s="18">
        <f>_xlfn.XLOOKUP(M5,J6:J10,G6:G10)</f>
        <v>50</v>
      </c>
      <c r="I15" s="18" t="s">
        <v>5</v>
      </c>
      <c r="J15" s="12" t="s">
        <v>40</v>
      </c>
      <c r="K15" s="20">
        <f>SUM(_xlfn.XLOOKUP(M5,J6:J10,G6:G10)*D15,_xlfn.XLOOKUP(M5,J6:J10,H6:H10)*D16,_xlfn.XLOOKUP(M5,J6:J10,I6:I10)*D17)</f>
        <v>330000000</v>
      </c>
    </row>
    <row r="16" spans="1:13" x14ac:dyDescent="0.35">
      <c r="A16" s="9" t="s">
        <v>21</v>
      </c>
      <c r="B16" s="9">
        <v>12000000</v>
      </c>
      <c r="C16" s="9">
        <v>40</v>
      </c>
      <c r="D16" s="9">
        <v>3000000</v>
      </c>
      <c r="G16" s="17" t="s">
        <v>32</v>
      </c>
      <c r="H16" s="18">
        <f>_xlfn.XLOOKUP(M5,J6:J10,H6:H10)</f>
        <v>30</v>
      </c>
      <c r="I16" s="18" t="s">
        <v>5</v>
      </c>
      <c r="J16" s="12" t="s">
        <v>39</v>
      </c>
      <c r="K16" s="14">
        <f>SUM(G27,_xlfn.XLOOKUP(M5,J6:J10,H6:H10),_xlfn.XLOOKUP(M5,J6:J10,I6:I10))</f>
        <v>100.00000000000001</v>
      </c>
    </row>
    <row r="17" spans="1:11" x14ac:dyDescent="0.35">
      <c r="A17" s="10" t="s">
        <v>22</v>
      </c>
      <c r="B17" s="10">
        <v>10000000</v>
      </c>
      <c r="C17" s="10">
        <v>30</v>
      </c>
      <c r="D17" s="10">
        <v>2000000</v>
      </c>
      <c r="G17" s="17" t="s">
        <v>35</v>
      </c>
      <c r="H17" s="18">
        <f>_xlfn.XLOOKUP(M5,J6:J10,I6:I10)</f>
        <v>20</v>
      </c>
      <c r="I17" s="18" t="s">
        <v>5</v>
      </c>
      <c r="J17" s="12" t="s">
        <v>37</v>
      </c>
      <c r="K17" s="13">
        <f>SUM(_xlfn.XLOOKUP(M5,J6:J10,G6:G10)*C15,_xlfn.XLOOKUP(M5,J6:J10,H6:H10)*C16,_xlfn.XLOOKUP(M5,J6:J10,I6:I10)*C17)</f>
        <v>4800</v>
      </c>
    </row>
    <row r="18" spans="1:11" x14ac:dyDescent="0.35">
      <c r="G18" s="17" t="s">
        <v>33</v>
      </c>
      <c r="H18" s="18">
        <f>M5</f>
        <v>1310000000</v>
      </c>
      <c r="I18" s="18" t="s">
        <v>9</v>
      </c>
      <c r="J18" s="12" t="s">
        <v>38</v>
      </c>
      <c r="K18" s="14">
        <f>C7 - K17</f>
        <v>200</v>
      </c>
    </row>
    <row r="19" spans="1:11" x14ac:dyDescent="0.35">
      <c r="G19" s="17" t="s">
        <v>41</v>
      </c>
      <c r="H19" s="19">
        <f xml:space="preserve"> (K15/$C$8) * 100%</f>
        <v>0.66</v>
      </c>
      <c r="I19" s="18" t="s">
        <v>9</v>
      </c>
      <c r="J19" s="12"/>
      <c r="K19" s="14"/>
    </row>
    <row r="20" spans="1:11" ht="12.5" customHeight="1" x14ac:dyDescent="0.35">
      <c r="G20" s="17" t="s">
        <v>42</v>
      </c>
      <c r="H20" s="19">
        <f xml:space="preserve"> (K17/$C$7) * 100%</f>
        <v>0.96</v>
      </c>
      <c r="I20" s="18" t="s">
        <v>7</v>
      </c>
    </row>
    <row r="21" spans="1:11" x14ac:dyDescent="0.35">
      <c r="G21" s="17" t="s">
        <v>43</v>
      </c>
      <c r="H21" s="19">
        <f>(K16 / $C$6) * 100%</f>
        <v>1.0000000000000002</v>
      </c>
      <c r="I21" s="18" t="s">
        <v>5</v>
      </c>
    </row>
    <row r="22" spans="1:11" x14ac:dyDescent="0.35">
      <c r="A22" s="4"/>
      <c r="B22" s="4"/>
      <c r="C22" s="4"/>
    </row>
    <row r="23" spans="1:11" x14ac:dyDescent="0.35">
      <c r="A23" s="4"/>
      <c r="B23" s="5"/>
      <c r="C23" s="5"/>
    </row>
    <row r="24" spans="1:11" x14ac:dyDescent="0.35">
      <c r="A24" s="4"/>
      <c r="B24" s="5"/>
      <c r="C24" s="5"/>
      <c r="F24" t="s">
        <v>45</v>
      </c>
    </row>
    <row r="25" spans="1:11" ht="13.5" customHeight="1" x14ac:dyDescent="0.35">
      <c r="A25" s="4"/>
      <c r="B25" s="5"/>
      <c r="C25" s="5"/>
    </row>
    <row r="26" spans="1:11" x14ac:dyDescent="0.35">
      <c r="A26" s="4"/>
      <c r="B26" s="4"/>
      <c r="C26" s="4"/>
      <c r="F26" s="15" t="s">
        <v>23</v>
      </c>
      <c r="G26" s="15" t="s">
        <v>24</v>
      </c>
      <c r="H26" s="15" t="s">
        <v>25</v>
      </c>
      <c r="I26" s="15" t="s">
        <v>28</v>
      </c>
      <c r="J26" s="15" t="s">
        <v>26</v>
      </c>
      <c r="K26" s="15" t="s">
        <v>27</v>
      </c>
    </row>
    <row r="27" spans="1:11" x14ac:dyDescent="0.35">
      <c r="A27" s="4"/>
      <c r="B27" s="6"/>
      <c r="C27" s="5"/>
      <c r="F27" s="16">
        <v>1</v>
      </c>
      <c r="G27" s="16">
        <v>50.000000000000014</v>
      </c>
      <c r="H27" s="16">
        <v>50</v>
      </c>
      <c r="I27" s="16">
        <v>0</v>
      </c>
      <c r="J27" s="16">
        <f>(G27 * $B$15) + (H27 * $B$16) + (I27 * $B$17)</f>
        <v>1350000000.0000002</v>
      </c>
      <c r="K27" s="16" t="str">
        <f>IF(OR((G27+H27 +I27)&gt;$C$6, ((G27*$C$15)+(H27*$C$16)+(I27*$C$17)&gt;$C$7)), "OVER", "AMAN")</f>
        <v>AMAN</v>
      </c>
    </row>
    <row r="29" spans="1:11" x14ac:dyDescent="0.35">
      <c r="G29" t="s">
        <v>34</v>
      </c>
    </row>
    <row r="31" spans="1:11" ht="24" customHeight="1" x14ac:dyDescent="0.35">
      <c r="G31" s="11" t="s">
        <v>29</v>
      </c>
      <c r="H31" s="11" t="s">
        <v>30</v>
      </c>
      <c r="I31" s="11" t="s">
        <v>3</v>
      </c>
      <c r="J31" s="21"/>
      <c r="K31" s="21"/>
    </row>
    <row r="32" spans="1:11" ht="18.5" customHeight="1" x14ac:dyDescent="0.35">
      <c r="G32" s="17" t="s">
        <v>31</v>
      </c>
      <c r="H32" s="18">
        <f>G27</f>
        <v>50.000000000000014</v>
      </c>
      <c r="I32" s="18" t="s">
        <v>5</v>
      </c>
      <c r="J32" s="22" t="s">
        <v>40</v>
      </c>
      <c r="K32" s="23">
        <f>SUM(G27*D15,H27*D16,I27*D17)</f>
        <v>350000000.00000006</v>
      </c>
    </row>
    <row r="33" spans="7:11" ht="16" customHeight="1" x14ac:dyDescent="0.35">
      <c r="G33" s="17" t="s">
        <v>32</v>
      </c>
      <c r="H33" s="18">
        <f>H27</f>
        <v>50</v>
      </c>
      <c r="I33" s="18" t="s">
        <v>5</v>
      </c>
      <c r="J33" s="22" t="s">
        <v>39</v>
      </c>
      <c r="K33" s="24">
        <f>SUM(G27:H27:I27)</f>
        <v>100.00000000000001</v>
      </c>
    </row>
    <row r="34" spans="7:11" ht="17.5" customHeight="1" x14ac:dyDescent="0.35">
      <c r="G34" s="17" t="s">
        <v>35</v>
      </c>
      <c r="H34" s="18">
        <f>I27</f>
        <v>0</v>
      </c>
      <c r="I34" s="18" t="s">
        <v>5</v>
      </c>
      <c r="J34" s="22" t="s">
        <v>37</v>
      </c>
      <c r="K34" s="25">
        <f>SUM(G27*C15,H27*C16,I27*C17)</f>
        <v>5000.0000000000009</v>
      </c>
    </row>
    <row r="35" spans="7:11" ht="15" customHeight="1" x14ac:dyDescent="0.35">
      <c r="G35" s="17" t="s">
        <v>33</v>
      </c>
      <c r="H35" s="18">
        <f>J27</f>
        <v>1350000000.0000002</v>
      </c>
      <c r="I35" s="18" t="s">
        <v>9</v>
      </c>
      <c r="J35" s="22" t="s">
        <v>38</v>
      </c>
      <c r="K35" s="24">
        <f>$C$7 - K34</f>
        <v>0</v>
      </c>
    </row>
    <row r="36" spans="7:11" x14ac:dyDescent="0.35">
      <c r="G36" s="17" t="s">
        <v>41</v>
      </c>
      <c r="H36" s="19">
        <f xml:space="preserve"> (K32/$C$8) * 100%</f>
        <v>0.70000000000000007</v>
      </c>
      <c r="I36" s="18" t="s">
        <v>9</v>
      </c>
      <c r="J36" s="22"/>
      <c r="K36" s="24"/>
    </row>
    <row r="37" spans="7:11" x14ac:dyDescent="0.35">
      <c r="G37" s="17" t="s">
        <v>42</v>
      </c>
      <c r="H37" s="19">
        <f xml:space="preserve"> (K34/$C$7) * 100%</f>
        <v>1.0000000000000002</v>
      </c>
      <c r="I37" s="18" t="s">
        <v>7</v>
      </c>
      <c r="J37" s="21"/>
      <c r="K37" s="21"/>
    </row>
    <row r="38" spans="7:11" x14ac:dyDescent="0.35">
      <c r="G38" s="17" t="s">
        <v>43</v>
      </c>
      <c r="H38" s="19">
        <f>(K33 / $C$6) * 100%</f>
        <v>1.0000000000000002</v>
      </c>
      <c r="I38" s="18" t="s">
        <v>5</v>
      </c>
      <c r="J38" s="21"/>
      <c r="K38" s="2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O</dc:creator>
  <cp:lastModifiedBy>A O</cp:lastModifiedBy>
  <dcterms:created xsi:type="dcterms:W3CDTF">2026-01-04T17:08:12Z</dcterms:created>
  <dcterms:modified xsi:type="dcterms:W3CDTF">2026-01-05T20:19:14Z</dcterms:modified>
</cp:coreProperties>
</file>